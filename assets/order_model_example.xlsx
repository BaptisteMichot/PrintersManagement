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bb-my.sharepoint.com/personal/baptiste_michot_be_abb_com/Documents/Documents/Imprimantes/PrintersABB/assets/"/>
    </mc:Choice>
  </mc:AlternateContent>
  <xr:revisionPtr revIDLastSave="27" documentId="11_17A98B1BBDF679A1B9F056B7BF0A2FB473B653D6" xr6:coauthVersionLast="47" xr6:coauthVersionMax="47" xr10:uidLastSave="{2880842B-539D-4B06-A8BA-3FC3FFF6E697}"/>
  <bookViews>
    <workbookView xWindow="-120" yWindow="-16320" windowWidth="29040" windowHeight="15720" tabRatio="297" xr2:uid="{00000000-000D-0000-FFFF-FFFF00000000}"/>
  </bookViews>
  <sheets>
    <sheet name="For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I30" i="1"/>
  <c r="I29" i="1"/>
  <c r="I28" i="1"/>
  <c r="I27" i="1"/>
  <c r="I26" i="1"/>
  <c r="I25" i="1"/>
  <c r="I24" i="1"/>
  <c r="I23" i="1"/>
  <c r="I33" i="1" s="1"/>
  <c r="C15" i="1"/>
</calcChain>
</file>

<file path=xl/sharedStrings.xml><?xml version="1.0" encoding="utf-8"?>
<sst xmlns="http://schemas.openxmlformats.org/spreadsheetml/2006/main" count="40" uniqueCount="34">
  <si>
    <t xml:space="preserve"> </t>
  </si>
  <si>
    <t>To:</t>
  </si>
  <si>
    <t xml:space="preserve">PURCHASE ORDER No: </t>
  </si>
  <si>
    <t>Date:</t>
  </si>
  <si>
    <t>Please supply:</t>
  </si>
  <si>
    <t>QUANTITY</t>
  </si>
  <si>
    <t>DESCRIPTION/ DETAILS</t>
  </si>
  <si>
    <t>Unit price</t>
  </si>
  <si>
    <t>Total</t>
  </si>
  <si>
    <t>Currency:</t>
  </si>
  <si>
    <t>EUR</t>
  </si>
  <si>
    <t>Description</t>
  </si>
  <si>
    <t>Invoice to:</t>
  </si>
  <si>
    <t>DELIVERY/ SPECIAL INSTRUCTIONS</t>
  </si>
  <si>
    <t>Originator:</t>
  </si>
  <si>
    <t>Delivey address:</t>
  </si>
  <si>
    <t>Approved:</t>
  </si>
  <si>
    <t>BUDGET REFERENCE</t>
  </si>
  <si>
    <t>PROFIT CENTER</t>
  </si>
  <si>
    <t>MER No:</t>
  </si>
  <si>
    <t>x</t>
  </si>
  <si>
    <t>Mktg - Elec.</t>
  </si>
  <si>
    <t>OTHER:</t>
  </si>
  <si>
    <t>m</t>
  </si>
  <si>
    <t>Sales</t>
  </si>
  <si>
    <t>Cust.Service</t>
  </si>
  <si>
    <t>Advertising</t>
  </si>
  <si>
    <t xml:space="preserve">Mark for the attention of:          </t>
  </si>
  <si>
    <t xml:space="preserve">Send invoices electronically to: </t>
  </si>
  <si>
    <t xml:space="preserve">Tel. </t>
  </si>
  <si>
    <t xml:space="preserve">TVA  / BTW : </t>
  </si>
  <si>
    <t>Company Name</t>
  </si>
  <si>
    <t>Address</t>
  </si>
  <si>
    <t>RO1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</si>
</sst>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[$€-2]\ * #,##0.00_-;\-[$€-2]\ * #,##0.00_-;_-[$€-2]\ * &quot;-&quot;??_-;_-@_-"/>
    <numFmt numFmtId="165" formatCode="#,##0.00\ &quot;€&quot;"/>
    <numFmt numFmtId="168" formatCode="[$EUR]\ #,##0.00_);[Red]\([$EUR]\ #,##0.00\)"/>
    <numFmt numFmtId="169" formatCode="_([$€-2]* #,##0.00_);_([$€-2]* \(#,##0.00\);_([$€-2]* &quot;-&quot;??_)"/>
  </numFmts>
  <fonts count="2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name val="Wingdings"/>
      <charset val="2"/>
    </font>
    <font>
      <b/>
      <sz val="14"/>
      <name val="Arial"/>
      <family val="2"/>
    </font>
    <font>
      <u/>
      <sz val="10"/>
      <color indexed="12"/>
      <name val="Arial"/>
      <family val="2"/>
    </font>
    <font>
      <i/>
      <sz val="10"/>
      <name val="Arial"/>
      <family val="2"/>
    </font>
    <font>
      <b/>
      <sz val="9"/>
      <color indexed="12"/>
      <name val="Arial"/>
      <family val="2"/>
    </font>
    <font>
      <sz val="12"/>
      <name val="Arial"/>
      <family val="2"/>
    </font>
    <font>
      <sz val="8"/>
      <name val="Arial"/>
      <family val="2"/>
    </font>
    <font>
      <sz val="9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9"/>
      <color rgb="FF0000FF"/>
      <name val="Arial"/>
      <family val="2"/>
    </font>
    <font>
      <sz val="10"/>
      <color rgb="FFFF0000"/>
      <name val="Arial"/>
      <family val="2"/>
    </font>
    <font>
      <sz val="8"/>
      <color rgb="FFFF000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10"/>
      <name val="Arial"/>
    </font>
    <font>
      <b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9" fontId="1" fillId="0" borderId="0"/>
    <xf numFmtId="0" fontId="9" fillId="0" borderId="0">
      <alignment vertical="top"/>
      <protection locked="0"/>
    </xf>
    <xf numFmtId="43" fontId="22" fillId="0" borderId="0"/>
    <xf numFmtId="44" fontId="22" fillId="0" borderId="0" applyFont="0" applyFill="0" applyBorder="0" applyAlignment="0" applyProtection="0"/>
  </cellStyleXfs>
  <cellXfs count="100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16" fontId="0" fillId="0" borderId="0" xfId="0" applyNumberFormat="1"/>
    <xf numFmtId="14" fontId="0" fillId="0" borderId="0" xfId="0" applyNumberForma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Continuous"/>
    </xf>
    <xf numFmtId="0" fontId="2" fillId="0" borderId="2" xfId="0" applyFont="1" applyBorder="1" applyAlignment="1">
      <alignment horizontal="centerContinuous"/>
    </xf>
    <xf numFmtId="0" fontId="2" fillId="0" borderId="3" xfId="0" applyFont="1" applyBorder="1" applyAlignment="1">
      <alignment horizontal="centerContinuous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0" fillId="0" borderId="9" xfId="0" applyBorder="1"/>
    <xf numFmtId="0" fontId="0" fillId="0" borderId="10" xfId="0" applyBorder="1"/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centerContinuous"/>
    </xf>
    <xf numFmtId="0" fontId="0" fillId="0" borderId="2" xfId="0" applyBorder="1" applyAlignment="1">
      <alignment horizontal="centerContinuous"/>
    </xf>
    <xf numFmtId="0" fontId="2" fillId="0" borderId="8" xfId="0" applyFont="1" applyBorder="1" applyAlignment="1">
      <alignment horizontal="centerContinuous"/>
    </xf>
    <xf numFmtId="0" fontId="2" fillId="0" borderId="3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14" fontId="4" fillId="0" borderId="12" xfId="0" applyNumberFormat="1" applyFont="1" applyBorder="1" applyAlignment="1">
      <alignment horizontal="centerContinuous"/>
    </xf>
    <xf numFmtId="0" fontId="4" fillId="0" borderId="11" xfId="0" applyFont="1" applyBorder="1"/>
    <xf numFmtId="14" fontId="4" fillId="0" borderId="12" xfId="0" applyNumberFormat="1" applyFont="1" applyBorder="1"/>
    <xf numFmtId="0" fontId="0" fillId="0" borderId="11" xfId="0" applyBorder="1"/>
    <xf numFmtId="0" fontId="0" fillId="0" borderId="6" xfId="0" applyBorder="1"/>
    <xf numFmtId="14" fontId="0" fillId="0" borderId="12" xfId="0" applyNumberFormat="1" applyBorder="1"/>
    <xf numFmtId="0" fontId="0" fillId="0" borderId="3" xfId="0" applyBorder="1" applyAlignment="1">
      <alignment horizontal="centerContinuous"/>
    </xf>
    <xf numFmtId="0" fontId="0" fillId="0" borderId="12" xfId="0" applyBorder="1"/>
    <xf numFmtId="0" fontId="6" fillId="0" borderId="11" xfId="0" applyFont="1" applyBorder="1"/>
    <xf numFmtId="0" fontId="6" fillId="0" borderId="0" xfId="0" applyFont="1"/>
    <xf numFmtId="0" fontId="6" fillId="0" borderId="12" xfId="0" applyFont="1" applyBorder="1"/>
    <xf numFmtId="0" fontId="7" fillId="0" borderId="11" xfId="0" applyFont="1" applyBorder="1" applyAlignment="1">
      <alignment horizontal="center"/>
    </xf>
    <xf numFmtId="14" fontId="6" fillId="0" borderId="12" xfId="0" applyNumberFormat="1" applyFont="1" applyBorder="1"/>
    <xf numFmtId="0" fontId="0" fillId="0" borderId="7" xfId="0" applyBorder="1"/>
    <xf numFmtId="0" fontId="2" fillId="0" borderId="9" xfId="0" applyFont="1" applyBorder="1"/>
    <xf numFmtId="14" fontId="0" fillId="0" borderId="7" xfId="0" applyNumberFormat="1" applyBorder="1"/>
    <xf numFmtId="0" fontId="0" fillId="0" borderId="0" xfId="0" applyAlignment="1">
      <alignment horizontal="center"/>
    </xf>
    <xf numFmtId="0" fontId="9" fillId="0" borderId="0" xfId="2" applyAlignment="1" applyProtection="1">
      <alignment wrapText="1"/>
    </xf>
    <xf numFmtId="0" fontId="1" fillId="0" borderId="0" xfId="0" applyFont="1"/>
    <xf numFmtId="0" fontId="13" fillId="0" borderId="0" xfId="0" applyFont="1" applyAlignment="1">
      <alignment vertical="top" wrapText="1"/>
    </xf>
    <xf numFmtId="0" fontId="11" fillId="0" borderId="11" xfId="0" applyFont="1" applyBorder="1"/>
    <xf numFmtId="0" fontId="13" fillId="0" borderId="12" xfId="0" applyFont="1" applyBorder="1" applyAlignment="1">
      <alignment vertical="top" wrapText="1"/>
    </xf>
    <xf numFmtId="0" fontId="14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vertical="center"/>
    </xf>
    <xf numFmtId="0" fontId="0" fillId="0" borderId="0" xfId="0" applyAlignment="1">
      <alignment vertical="top"/>
    </xf>
    <xf numFmtId="0" fontId="18" fillId="0" borderId="0" xfId="0" applyFont="1"/>
    <xf numFmtId="0" fontId="19" fillId="0" borderId="0" xfId="0" applyFont="1" applyAlignment="1">
      <alignment vertical="top" wrapText="1"/>
    </xf>
    <xf numFmtId="0" fontId="20" fillId="0" borderId="0" xfId="0" applyFont="1"/>
    <xf numFmtId="0" fontId="20" fillId="0" borderId="0" xfId="0" applyFont="1" applyAlignment="1">
      <alignment vertical="top"/>
    </xf>
    <xf numFmtId="0" fontId="20" fillId="0" borderId="11" xfId="0" applyFont="1" applyBorder="1" applyAlignment="1">
      <alignment horizontal="left"/>
    </xf>
    <xf numFmtId="0" fontId="20" fillId="0" borderId="0" xfId="0" applyFont="1" applyAlignment="1">
      <alignment horizontal="centerContinuous"/>
    </xf>
    <xf numFmtId="0" fontId="21" fillId="0" borderId="0" xfId="0" applyFont="1" applyAlignment="1">
      <alignment horizontal="left"/>
    </xf>
    <xf numFmtId="0" fontId="20" fillId="0" borderId="11" xfId="0" applyFont="1" applyBorder="1"/>
    <xf numFmtId="0" fontId="18" fillId="0" borderId="0" xfId="0" applyFont="1" applyAlignment="1">
      <alignment horizontal="left" vertical="top"/>
    </xf>
    <xf numFmtId="0" fontId="21" fillId="0" borderId="11" xfId="0" applyFont="1" applyBorder="1" applyAlignment="1">
      <alignment horizontal="left"/>
    </xf>
    <xf numFmtId="0" fontId="21" fillId="0" borderId="11" xfId="0" applyFont="1" applyBorder="1"/>
    <xf numFmtId="43" fontId="0" fillId="0" borderId="0" xfId="3" applyFont="1"/>
    <xf numFmtId="164" fontId="0" fillId="0" borderId="0" xfId="0" applyNumberFormat="1"/>
    <xf numFmtId="0" fontId="1" fillId="0" borderId="9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10" fillId="0" borderId="8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1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9" xfId="0" applyBorder="1"/>
    <xf numFmtId="0" fontId="1" fillId="0" borderId="5" xfId="0" quotePrefix="1" applyFont="1" applyBorder="1" applyAlignment="1">
      <alignment vertical="center" wrapText="1"/>
    </xf>
    <xf numFmtId="0" fontId="0" fillId="0" borderId="0" xfId="0"/>
    <xf numFmtId="0" fontId="0" fillId="0" borderId="12" xfId="0" applyBorder="1"/>
    <xf numFmtId="0" fontId="8" fillId="0" borderId="0" xfId="0" applyFont="1" applyAlignment="1">
      <alignment horizontal="center"/>
    </xf>
    <xf numFmtId="0" fontId="12" fillId="0" borderId="5" xfId="0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0" fillId="0" borderId="8" xfId="0" applyBorder="1"/>
    <xf numFmtId="0" fontId="0" fillId="0" borderId="3" xfId="0" applyBorder="1"/>
    <xf numFmtId="0" fontId="14" fillId="0" borderId="0" xfId="0" applyFont="1"/>
    <xf numFmtId="0" fontId="4" fillId="0" borderId="0" xfId="0" applyFont="1"/>
    <xf numFmtId="0" fontId="23" fillId="0" borderId="12" xfId="0" applyFont="1" applyBorder="1" applyAlignment="1">
      <alignment horizontal="left"/>
    </xf>
    <xf numFmtId="0" fontId="0" fillId="0" borderId="7" xfId="0" applyBorder="1"/>
    <xf numFmtId="0" fontId="12" fillId="0" borderId="4" xfId="0" applyFont="1" applyBorder="1" applyAlignment="1">
      <alignment vertical="top" wrapText="1"/>
    </xf>
    <xf numFmtId="4" fontId="0" fillId="0" borderId="1" xfId="0" applyNumberFormat="1" applyBorder="1" applyAlignment="1">
      <alignment vertical="center"/>
    </xf>
    <xf numFmtId="168" fontId="2" fillId="0" borderId="5" xfId="0" applyNumberFormat="1" applyFont="1" applyBorder="1" applyAlignment="1">
      <alignment horizontal="right" vertical="center"/>
    </xf>
    <xf numFmtId="0" fontId="18" fillId="0" borderId="0" xfId="0" applyFont="1" applyAlignment="1">
      <alignment horizontal="center" vertical="top"/>
    </xf>
    <xf numFmtId="0" fontId="17" fillId="0" borderId="0" xfId="0" applyFont="1"/>
    <xf numFmtId="14" fontId="1" fillId="0" borderId="14" xfId="0" applyNumberFormat="1" applyFont="1" applyBorder="1" applyAlignment="1">
      <alignment horizontal="center"/>
    </xf>
    <xf numFmtId="0" fontId="0" fillId="0" borderId="13" xfId="0" applyBorder="1"/>
    <xf numFmtId="0" fontId="10" fillId="0" borderId="5" xfId="0" applyFont="1" applyBorder="1" applyAlignment="1">
      <alignment vertical="center" wrapText="1"/>
    </xf>
    <xf numFmtId="165" fontId="0" fillId="0" borderId="5" xfId="4" applyNumberFormat="1" applyFont="1" applyBorder="1" applyAlignment="1">
      <alignment vertical="center"/>
    </xf>
    <xf numFmtId="165" fontId="0" fillId="0" borderId="5" xfId="4" applyNumberFormat="1" applyFont="1" applyBorder="1" applyAlignment="1">
      <alignment vertical="center"/>
    </xf>
    <xf numFmtId="165" fontId="0" fillId="0" borderId="12" xfId="4" applyNumberFormat="1" applyFont="1" applyBorder="1"/>
    <xf numFmtId="165" fontId="1" fillId="0" borderId="0" xfId="4" applyNumberFormat="1" applyFont="1" applyAlignment="1">
      <alignment vertical="center"/>
    </xf>
    <xf numFmtId="165" fontId="0" fillId="0" borderId="4" xfId="4" applyNumberFormat="1" applyFont="1" applyBorder="1" applyAlignment="1">
      <alignment vertical="center"/>
    </xf>
    <xf numFmtId="165" fontId="0" fillId="0" borderId="4" xfId="4" applyNumberFormat="1" applyFont="1" applyBorder="1" applyAlignment="1">
      <alignment vertical="center"/>
    </xf>
    <xf numFmtId="165" fontId="0" fillId="0" borderId="7" xfId="4" applyNumberFormat="1" applyFont="1" applyBorder="1"/>
  </cellXfs>
  <cellStyles count="5">
    <cellStyle name="Comma" xfId="3" builtinId="3"/>
    <cellStyle name="Currency" xfId="4" builtinId="4"/>
    <cellStyle name="Euro" xfId="1" xr:uid="{00000000-0005-0000-0000-000001000000}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52"/>
  <sheetViews>
    <sheetView showGridLines="0" tabSelected="1" topLeftCell="A9" zoomScale="103" zoomScaleNormal="82" workbookViewId="0">
      <selection activeCell="N21" sqref="N21"/>
    </sheetView>
  </sheetViews>
  <sheetFormatPr defaultColWidth="9.109375" defaultRowHeight="13.2" x14ac:dyDescent="0.25"/>
  <cols>
    <col min="1" max="1" width="10.109375" customWidth="1"/>
    <col min="2" max="2" width="9.109375" customWidth="1"/>
    <col min="3" max="3" width="10.109375" bestFit="1" customWidth="1"/>
    <col min="5" max="5" width="10" customWidth="1"/>
    <col min="6" max="6" width="10.5546875" customWidth="1"/>
    <col min="7" max="7" width="26.88671875" customWidth="1"/>
    <col min="8" max="8" width="10" customWidth="1"/>
    <col min="9" max="9" width="10.5546875" customWidth="1"/>
    <col min="10" max="10" width="10.109375" customWidth="1"/>
  </cols>
  <sheetData>
    <row r="1" spans="1:10" ht="42" customHeight="1" x14ac:dyDescent="0.3">
      <c r="A1" t="s">
        <v>0</v>
      </c>
      <c r="F1" s="1"/>
    </row>
    <row r="2" spans="1:10" ht="9.75" customHeight="1" x14ac:dyDescent="0.25">
      <c r="G2" s="2"/>
    </row>
    <row r="3" spans="1:10" ht="22.5" customHeight="1" thickBot="1" x14ac:dyDescent="0.3">
      <c r="A3" s="48" t="s">
        <v>31</v>
      </c>
      <c r="G3" s="2"/>
      <c r="H3" s="72"/>
      <c r="I3" s="72"/>
      <c r="J3" s="72"/>
    </row>
    <row r="4" spans="1:10" ht="17.25" customHeight="1" x14ac:dyDescent="0.25">
      <c r="A4" s="49" t="s">
        <v>32</v>
      </c>
      <c r="G4" s="39" t="s">
        <v>1</v>
      </c>
      <c r="H4" s="78"/>
      <c r="I4" s="79"/>
      <c r="J4" s="80"/>
    </row>
    <row r="5" spans="1:10" ht="13.95" customHeight="1" x14ac:dyDescent="0.25">
      <c r="A5" s="49"/>
      <c r="G5" s="51"/>
      <c r="H5" s="77"/>
      <c r="I5" s="74"/>
      <c r="J5" s="75"/>
    </row>
    <row r="6" spans="1:10" ht="13.95" customHeight="1" x14ac:dyDescent="0.25">
      <c r="A6" s="50"/>
      <c r="H6" s="77"/>
      <c r="I6" s="74"/>
      <c r="J6" s="75"/>
    </row>
    <row r="7" spans="1:10" ht="17.25" customHeight="1" x14ac:dyDescent="0.25">
      <c r="A7" s="49" t="s">
        <v>30</v>
      </c>
      <c r="H7" s="77"/>
      <c r="I7" s="74"/>
      <c r="J7" s="75"/>
    </row>
    <row r="8" spans="1:10" ht="16.5" customHeight="1" x14ac:dyDescent="0.25">
      <c r="A8" s="49" t="s">
        <v>29</v>
      </c>
      <c r="H8" s="77"/>
      <c r="I8" s="74"/>
      <c r="J8" s="75"/>
    </row>
    <row r="9" spans="1:10" ht="18" customHeight="1" x14ac:dyDescent="0.25">
      <c r="A9" s="49" t="s">
        <v>28</v>
      </c>
      <c r="H9" s="77"/>
      <c r="I9" s="74"/>
      <c r="J9" s="75"/>
    </row>
    <row r="10" spans="1:10" ht="15.75" customHeight="1" x14ac:dyDescent="0.25">
      <c r="A10" s="49"/>
      <c r="H10" s="77"/>
      <c r="I10" s="74"/>
      <c r="J10" s="75"/>
    </row>
    <row r="11" spans="1:10" ht="11.25" customHeight="1" x14ac:dyDescent="0.25">
      <c r="A11" s="49"/>
      <c r="H11" s="77"/>
      <c r="I11" s="74"/>
      <c r="J11" s="75"/>
    </row>
    <row r="12" spans="1:10" ht="18" customHeight="1" thickBot="1" x14ac:dyDescent="0.35">
      <c r="A12" s="4" t="s">
        <v>2</v>
      </c>
      <c r="B12" s="2"/>
      <c r="C12" s="76" t="s">
        <v>33</v>
      </c>
      <c r="D12" s="74"/>
      <c r="H12" s="85"/>
      <c r="I12" s="72"/>
      <c r="J12" s="84"/>
    </row>
    <row r="13" spans="1:10" ht="8.25" customHeight="1" x14ac:dyDescent="0.25">
      <c r="A13" s="3"/>
      <c r="H13" s="40"/>
    </row>
    <row r="14" spans="1:10" ht="8.25" customHeight="1" thickBot="1" x14ac:dyDescent="0.3">
      <c r="A14" s="3"/>
    </row>
    <row r="15" spans="1:10" ht="14.4" customHeight="1" thickBot="1" x14ac:dyDescent="0.3">
      <c r="A15" s="3" t="s">
        <v>3</v>
      </c>
      <c r="B15" s="5"/>
      <c r="C15" s="90">
        <f ca="1">TODAY()</f>
        <v>46107</v>
      </c>
      <c r="D15" s="91"/>
    </row>
    <row r="16" spans="1:10" ht="8.25" customHeight="1" x14ac:dyDescent="0.25">
      <c r="I16" s="2"/>
      <c r="J16" s="6"/>
    </row>
    <row r="17" spans="1:13" ht="8.25" customHeight="1" x14ac:dyDescent="0.25">
      <c r="I17" s="2"/>
      <c r="J17" s="6"/>
    </row>
    <row r="18" spans="1:13" x14ac:dyDescent="0.25">
      <c r="A18" s="41" t="s">
        <v>4</v>
      </c>
      <c r="I18" s="2"/>
      <c r="J18" s="6"/>
    </row>
    <row r="19" spans="1:13" ht="13.8" customHeight="1" thickBot="1" x14ac:dyDescent="0.3">
      <c r="I19" s="2"/>
      <c r="J19" s="6"/>
    </row>
    <row r="20" spans="1:13" x14ac:dyDescent="0.25">
      <c r="A20" s="7" t="s">
        <v>5</v>
      </c>
      <c r="B20" s="8" t="s">
        <v>6</v>
      </c>
      <c r="C20" s="8"/>
      <c r="D20" s="8"/>
      <c r="E20" s="8"/>
      <c r="F20" s="9"/>
      <c r="G20" s="9"/>
      <c r="H20" s="7" t="s">
        <v>7</v>
      </c>
      <c r="I20" s="10" t="s">
        <v>8</v>
      </c>
      <c r="J20" s="10"/>
      <c r="L20" s="64"/>
    </row>
    <row r="21" spans="1:13" ht="13.8" customHeight="1" thickBot="1" x14ac:dyDescent="0.3">
      <c r="A21" s="11"/>
      <c r="B21" s="2"/>
      <c r="C21" s="2"/>
      <c r="D21" s="2"/>
      <c r="E21" s="2"/>
      <c r="F21" s="2"/>
      <c r="G21" s="2" t="s">
        <v>9</v>
      </c>
      <c r="H21" s="12" t="s">
        <v>10</v>
      </c>
      <c r="I21" s="13"/>
      <c r="J21" s="14"/>
    </row>
    <row r="22" spans="1:13" ht="11.25" customHeight="1" x14ac:dyDescent="0.25">
      <c r="A22" s="66"/>
      <c r="B22" s="67"/>
      <c r="C22" s="67"/>
      <c r="D22" s="67"/>
      <c r="E22" s="68"/>
      <c r="F22" s="68"/>
      <c r="G22" s="68"/>
      <c r="H22" s="66"/>
      <c r="I22" s="86"/>
      <c r="J22" s="80"/>
    </row>
    <row r="23" spans="1:13" ht="30" customHeight="1" x14ac:dyDescent="0.25">
      <c r="A23" s="69">
        <v>1</v>
      </c>
      <c r="B23" s="92" t="s">
        <v>11</v>
      </c>
      <c r="C23" s="74"/>
      <c r="D23" s="74"/>
      <c r="E23" s="74"/>
      <c r="F23" s="74"/>
      <c r="G23" s="75"/>
      <c r="H23" s="93">
        <v>238.3</v>
      </c>
      <c r="I23" s="94">
        <f t="shared" ref="I23:I31" si="0">IF(H23="","",H23*A23)</f>
        <v>238.3</v>
      </c>
      <c r="J23" s="95"/>
    </row>
    <row r="24" spans="1:13" ht="30" customHeight="1" x14ac:dyDescent="0.25">
      <c r="A24" s="69">
        <v>1</v>
      </c>
      <c r="B24" s="73" t="s">
        <v>11</v>
      </c>
      <c r="C24" s="74"/>
      <c r="D24" s="74"/>
      <c r="E24" s="74"/>
      <c r="F24" s="74"/>
      <c r="G24" s="75"/>
      <c r="H24" s="96">
        <v>234.65</v>
      </c>
      <c r="I24" s="94">
        <f t="shared" si="0"/>
        <v>234.65</v>
      </c>
      <c r="J24" s="95"/>
    </row>
    <row r="25" spans="1:13" ht="30" customHeight="1" x14ac:dyDescent="0.25">
      <c r="A25" s="70">
        <v>4</v>
      </c>
      <c r="B25" s="73" t="s">
        <v>11</v>
      </c>
      <c r="C25" s="74"/>
      <c r="D25" s="74"/>
      <c r="E25" s="74"/>
      <c r="F25" s="74"/>
      <c r="G25" s="75"/>
      <c r="H25" s="93">
        <v>233.9</v>
      </c>
      <c r="I25" s="94">
        <f t="shared" si="0"/>
        <v>935.6</v>
      </c>
      <c r="J25" s="95"/>
    </row>
    <row r="26" spans="1:13" ht="30" customHeight="1" x14ac:dyDescent="0.25">
      <c r="A26" s="70">
        <v>1</v>
      </c>
      <c r="B26" s="73" t="s">
        <v>11</v>
      </c>
      <c r="C26" s="74"/>
      <c r="D26" s="74"/>
      <c r="E26" s="74"/>
      <c r="F26" s="74"/>
      <c r="G26" s="75"/>
      <c r="H26" s="93">
        <v>217.37</v>
      </c>
      <c r="I26" s="94">
        <f t="shared" si="0"/>
        <v>217.37</v>
      </c>
      <c r="J26" s="95"/>
    </row>
    <row r="27" spans="1:13" ht="30" customHeight="1" x14ac:dyDescent="0.25">
      <c r="A27" s="70"/>
      <c r="B27" s="73"/>
      <c r="C27" s="74"/>
      <c r="D27" s="74"/>
      <c r="E27" s="74"/>
      <c r="F27" s="74"/>
      <c r="G27" s="75"/>
      <c r="H27" s="93"/>
      <c r="I27" s="94" t="str">
        <f t="shared" si="0"/>
        <v/>
      </c>
      <c r="J27" s="95"/>
    </row>
    <row r="28" spans="1:13" ht="30" customHeight="1" x14ac:dyDescent="0.25">
      <c r="A28" s="70"/>
      <c r="B28" s="73"/>
      <c r="C28" s="74"/>
      <c r="D28" s="74"/>
      <c r="E28" s="74"/>
      <c r="F28" s="74"/>
      <c r="G28" s="75"/>
      <c r="H28" s="93"/>
      <c r="I28" s="94" t="str">
        <f t="shared" si="0"/>
        <v/>
      </c>
      <c r="J28" s="95"/>
    </row>
    <row r="29" spans="1:13" ht="30" customHeight="1" x14ac:dyDescent="0.25">
      <c r="A29" s="70"/>
      <c r="B29" s="73"/>
      <c r="C29" s="74"/>
      <c r="D29" s="74"/>
      <c r="E29" s="74"/>
      <c r="F29" s="74"/>
      <c r="G29" s="75"/>
      <c r="H29" s="93"/>
      <c r="I29" s="94" t="str">
        <f t="shared" si="0"/>
        <v/>
      </c>
      <c r="J29" s="95"/>
      <c r="M29" s="63"/>
    </row>
    <row r="30" spans="1:13" ht="30" customHeight="1" x14ac:dyDescent="0.25">
      <c r="A30" s="70"/>
      <c r="B30" s="73"/>
      <c r="C30" s="74"/>
      <c r="D30" s="74"/>
      <c r="E30" s="74"/>
      <c r="F30" s="74"/>
      <c r="G30" s="75"/>
      <c r="H30" s="93"/>
      <c r="I30" s="94" t="str">
        <f t="shared" si="0"/>
        <v/>
      </c>
      <c r="J30" s="95"/>
    </row>
    <row r="31" spans="1:13" ht="30" customHeight="1" x14ac:dyDescent="0.25">
      <c r="A31" s="70"/>
      <c r="B31" s="73"/>
      <c r="C31" s="74"/>
      <c r="D31" s="74"/>
      <c r="E31" s="74"/>
      <c r="F31" s="74"/>
      <c r="G31" s="75"/>
      <c r="H31" s="93"/>
      <c r="I31" s="94" t="str">
        <f t="shared" si="0"/>
        <v/>
      </c>
      <c r="J31" s="95"/>
    </row>
    <row r="32" spans="1:13" ht="29.4" customHeight="1" thickBot="1" x14ac:dyDescent="0.3">
      <c r="A32" s="71"/>
      <c r="B32" s="65"/>
      <c r="C32" s="65"/>
      <c r="D32" s="65"/>
      <c r="E32" s="65"/>
      <c r="F32" s="65"/>
      <c r="G32" s="65"/>
      <c r="H32" s="97"/>
      <c r="I32" s="98"/>
      <c r="J32" s="99"/>
    </row>
    <row r="33" spans="1:10" ht="18" customHeight="1" thickBot="1" x14ac:dyDescent="0.3">
      <c r="A33" s="16"/>
      <c r="G33" s="46"/>
      <c r="H33" s="47" t="s">
        <v>8</v>
      </c>
      <c r="I33" s="87">
        <f>SUM(I23:J32)</f>
        <v>1625.92</v>
      </c>
      <c r="J33" s="75"/>
    </row>
    <row r="34" spans="1:10" ht="7.5" customHeight="1" x14ac:dyDescent="0.25">
      <c r="A34" s="17"/>
      <c r="B34" s="18"/>
      <c r="C34" s="18"/>
      <c r="D34" s="18"/>
      <c r="E34" s="18"/>
      <c r="F34" s="19"/>
      <c r="G34" s="20"/>
      <c r="H34" s="20"/>
      <c r="I34" s="20"/>
      <c r="J34" s="21"/>
    </row>
    <row r="35" spans="1:10" s="3" customFormat="1" x14ac:dyDescent="0.25">
      <c r="A35" s="22" t="s">
        <v>12</v>
      </c>
      <c r="B35" s="83"/>
      <c r="C35" s="82"/>
      <c r="D35" s="82"/>
      <c r="E35" s="75"/>
      <c r="F35" s="56" t="s">
        <v>13</v>
      </c>
      <c r="G35" s="57"/>
      <c r="H35" s="57"/>
      <c r="I35" s="58"/>
      <c r="J35" s="23"/>
    </row>
    <row r="36" spans="1:10" s="3" customFormat="1" x14ac:dyDescent="0.2">
      <c r="A36" s="24"/>
      <c r="F36" s="59" t="s">
        <v>27</v>
      </c>
      <c r="G36" s="55"/>
      <c r="H36" s="60"/>
      <c r="I36" s="60"/>
      <c r="J36" s="25"/>
    </row>
    <row r="37" spans="1:10" s="3" customFormat="1" ht="12" customHeight="1" x14ac:dyDescent="0.2">
      <c r="A37" s="24" t="s">
        <v>14</v>
      </c>
      <c r="B37" s="89"/>
      <c r="C37" s="82"/>
      <c r="D37" s="82"/>
      <c r="E37" s="82"/>
      <c r="F37" s="59" t="s">
        <v>15</v>
      </c>
      <c r="G37" s="54"/>
      <c r="H37" s="88"/>
      <c r="I37" s="82"/>
      <c r="J37" s="44"/>
    </row>
    <row r="38" spans="1:10" s="3" customFormat="1" ht="12.75" customHeight="1" x14ac:dyDescent="0.25">
      <c r="A38" s="24"/>
      <c r="B38" s="81"/>
      <c r="C38" s="82"/>
      <c r="D38" s="82"/>
      <c r="E38" s="82"/>
      <c r="F38" s="61"/>
      <c r="G38" s="52"/>
      <c r="H38" s="53"/>
      <c r="I38" s="53"/>
      <c r="J38" s="44"/>
    </row>
    <row r="39" spans="1:10" s="3" customFormat="1" ht="12.75" customHeight="1" x14ac:dyDescent="0.25">
      <c r="A39" s="24"/>
      <c r="B39" s="45"/>
      <c r="C39" s="45"/>
      <c r="D39" s="45"/>
      <c r="E39" s="45"/>
      <c r="F39" s="62"/>
      <c r="G39" s="52"/>
      <c r="H39" s="53"/>
      <c r="I39" s="53"/>
      <c r="J39" s="44"/>
    </row>
    <row r="40" spans="1:10" s="3" customFormat="1" ht="12" customHeight="1" x14ac:dyDescent="0.25">
      <c r="A40" s="24" t="s">
        <v>16</v>
      </c>
      <c r="B40" s="89"/>
      <c r="C40" s="82"/>
      <c r="D40" s="82"/>
      <c r="E40" s="82"/>
      <c r="F40" s="62"/>
      <c r="G40" s="52"/>
      <c r="H40" s="53"/>
      <c r="I40" s="53"/>
      <c r="J40" s="44"/>
    </row>
    <row r="41" spans="1:10" s="3" customFormat="1" ht="12.75" customHeight="1" x14ac:dyDescent="0.25">
      <c r="A41" s="24"/>
      <c r="B41" s="81"/>
      <c r="C41" s="82"/>
      <c r="D41" s="82"/>
      <c r="E41" s="82"/>
      <c r="F41" s="62"/>
      <c r="G41" s="52"/>
      <c r="H41" s="53"/>
      <c r="I41" s="53"/>
      <c r="J41" s="44"/>
    </row>
    <row r="42" spans="1:10" s="3" customFormat="1" ht="12.75" customHeight="1" x14ac:dyDescent="0.25">
      <c r="A42" s="24"/>
      <c r="F42" s="43"/>
      <c r="G42" s="54"/>
      <c r="H42" s="42"/>
      <c r="I42" s="42"/>
      <c r="J42" s="44"/>
    </row>
    <row r="43" spans="1:10" ht="7.5" customHeight="1" thickBot="1" x14ac:dyDescent="0.3">
      <c r="A43" s="26"/>
      <c r="E43" s="15"/>
      <c r="F43" s="27"/>
      <c r="G43" s="15"/>
      <c r="H43" s="15"/>
      <c r="I43" s="37"/>
      <c r="J43" s="38"/>
    </row>
    <row r="44" spans="1:10" x14ac:dyDescent="0.25">
      <c r="A44" s="9" t="s">
        <v>17</v>
      </c>
      <c r="B44" s="20"/>
      <c r="C44" s="20"/>
      <c r="D44" s="10"/>
      <c r="E44" s="9" t="s">
        <v>18</v>
      </c>
      <c r="F44" s="20"/>
      <c r="G44" s="18"/>
      <c r="H44" s="18"/>
      <c r="I44" s="18"/>
      <c r="J44" s="29"/>
    </row>
    <row r="45" spans="1:10" ht="7.5" customHeight="1" x14ac:dyDescent="0.25">
      <c r="A45" s="26"/>
      <c r="D45" s="30"/>
      <c r="I45" s="2"/>
      <c r="J45" s="28"/>
    </row>
    <row r="46" spans="1:10" s="32" customFormat="1" ht="11.25" customHeight="1" x14ac:dyDescent="0.2">
      <c r="A46" s="31" t="s">
        <v>19</v>
      </c>
      <c r="D46" s="33"/>
      <c r="E46" s="34"/>
      <c r="G46" s="33"/>
      <c r="H46" s="34"/>
      <c r="J46" s="33"/>
    </row>
    <row r="47" spans="1:10" s="32" customFormat="1" ht="11.25" customHeight="1" x14ac:dyDescent="0.2">
      <c r="A47" s="31"/>
      <c r="D47" s="33"/>
      <c r="E47" s="34" t="s">
        <v>20</v>
      </c>
      <c r="F47" s="32" t="s">
        <v>21</v>
      </c>
      <c r="G47" s="33">
        <v>9981</v>
      </c>
      <c r="H47" s="34"/>
      <c r="J47" s="33"/>
    </row>
    <row r="48" spans="1:10" s="32" customFormat="1" ht="11.25" customHeight="1" x14ac:dyDescent="0.2">
      <c r="A48" s="31" t="s">
        <v>22</v>
      </c>
      <c r="D48" s="33"/>
      <c r="E48" s="34" t="s">
        <v>23</v>
      </c>
      <c r="F48" s="32" t="s">
        <v>24</v>
      </c>
      <c r="G48" s="33">
        <v>9984</v>
      </c>
      <c r="H48" s="34"/>
      <c r="J48" s="33"/>
    </row>
    <row r="49" spans="1:10" s="32" customFormat="1" ht="11.25" customHeight="1" x14ac:dyDescent="0.2">
      <c r="A49" s="31"/>
      <c r="D49" s="33"/>
      <c r="E49" s="34" t="s">
        <v>23</v>
      </c>
      <c r="F49" s="32" t="s">
        <v>25</v>
      </c>
      <c r="G49" s="32">
        <v>9977</v>
      </c>
      <c r="H49" s="34"/>
      <c r="J49" s="33"/>
    </row>
    <row r="50" spans="1:10" s="32" customFormat="1" ht="11.25" customHeight="1" x14ac:dyDescent="0.25">
      <c r="A50" s="31"/>
      <c r="D50" s="33"/>
      <c r="E50" s="34" t="s">
        <v>23</v>
      </c>
      <c r="F50" s="32" t="s">
        <v>26</v>
      </c>
      <c r="G50" s="32">
        <v>9981</v>
      </c>
      <c r="H50" s="34"/>
      <c r="I50" s="4"/>
      <c r="J50" s="35"/>
    </row>
    <row r="51" spans="1:10" s="32" customFormat="1" ht="11.25" customHeight="1" x14ac:dyDescent="0.25">
      <c r="A51" s="31"/>
      <c r="D51" s="33"/>
      <c r="E51" s="34"/>
      <c r="H51" s="34"/>
      <c r="I51" s="4"/>
      <c r="J51" s="35"/>
    </row>
    <row r="52" spans="1:10" ht="5.25" customHeight="1" thickBot="1" x14ac:dyDescent="0.3">
      <c r="A52" s="27"/>
      <c r="B52" s="15"/>
      <c r="C52" s="15"/>
      <c r="D52" s="36"/>
      <c r="E52" s="27"/>
      <c r="F52" s="15"/>
      <c r="G52" s="15"/>
      <c r="H52" s="15"/>
      <c r="I52" s="37"/>
      <c r="J52" s="38"/>
    </row>
  </sheetData>
  <mergeCells count="39">
    <mergeCell ref="I30:J30"/>
    <mergeCell ref="B40:E40"/>
    <mergeCell ref="C15:D15"/>
    <mergeCell ref="B23:G23"/>
    <mergeCell ref="I27:J27"/>
    <mergeCell ref="I31:J31"/>
    <mergeCell ref="B37:E37"/>
    <mergeCell ref="H11:J11"/>
    <mergeCell ref="I26:J26"/>
    <mergeCell ref="B29:G29"/>
    <mergeCell ref="H7:J7"/>
    <mergeCell ref="B41:E41"/>
    <mergeCell ref="B28:G28"/>
    <mergeCell ref="B35:E35"/>
    <mergeCell ref="I32:J32"/>
    <mergeCell ref="I25:J25"/>
    <mergeCell ref="H12:J12"/>
    <mergeCell ref="I22:J22"/>
    <mergeCell ref="I28:J28"/>
    <mergeCell ref="I33:J33"/>
    <mergeCell ref="H37:I37"/>
    <mergeCell ref="B31:G31"/>
    <mergeCell ref="B38:E38"/>
    <mergeCell ref="H3:J3"/>
    <mergeCell ref="B30:G30"/>
    <mergeCell ref="B24:G24"/>
    <mergeCell ref="C12:D12"/>
    <mergeCell ref="I24:J24"/>
    <mergeCell ref="H5:J5"/>
    <mergeCell ref="H8:J8"/>
    <mergeCell ref="I23:J23"/>
    <mergeCell ref="B26:G26"/>
    <mergeCell ref="B25:G25"/>
    <mergeCell ref="I29:J29"/>
    <mergeCell ref="H10:J10"/>
    <mergeCell ref="B27:G27"/>
    <mergeCell ref="H4:J4"/>
    <mergeCell ref="H9:J9"/>
    <mergeCell ref="H6:J6"/>
  </mergeCells>
  <pageMargins left="0.28000000000000003" right="0.27" top="0.31" bottom="0.3" header="0.17" footer="0.18"/>
  <pageSetup paperSize="9" scale="78" orientation="portrait"/>
</worksheet>
</file>

<file path=docMetadata/LabelInfo.xml><?xml version="1.0" encoding="utf-8"?>
<clbl:labelList xmlns:clbl="http://schemas.microsoft.com/office/2020/mipLabelMetadata">
  <clbl:label id="{d792d246-d363-40e2-82bc-6f0655128b68}" enabled="1" method="Standard" siteId="{372ee9e0-9ce0-4033-a64a-c07073a91ec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666530 Datasheet</dc:title>
  <dc:creator>gulludag</dc:creator>
  <cp:lastModifiedBy>Baptiste MICHOT [EXT]</cp:lastModifiedBy>
  <cp:lastPrinted>2026-03-03T11:30:43Z</cp:lastPrinted>
  <dcterms:created xsi:type="dcterms:W3CDTF">2001-11-23T10:51:21Z</dcterms:created>
  <dcterms:modified xsi:type="dcterms:W3CDTF">2026-03-26T10:50:28Z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